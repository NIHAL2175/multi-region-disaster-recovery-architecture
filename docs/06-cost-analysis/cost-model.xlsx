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ine-Item Cost Breakdown" sheetId="2" state="visible" r:id="rId2"/>
    <sheet name="Savings Plans &amp; RI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₹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47E"/>
        <bgColor rgb="002B547E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4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164" fontId="3" fillId="5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1" customWidth="1" min="1" max="1"/>
    <col width="68" customWidth="1" min="2" max="2"/>
    <col width="21" customWidth="1" min="3" max="3"/>
    <col width="18" customWidth="1" min="4" max="4"/>
    <col width="21" customWidth="1" min="5" max="5"/>
    <col width="23" customWidth="1" min="6" max="6"/>
    <col width="18" customWidth="1" min="7" max="7"/>
  </cols>
  <sheetData>
    <row r="1">
      <c r="A1" s="1" t="inlineStr">
        <is>
          <t>PaySecure Gateway - Multi-Region Disaster Recovery Cost Model &amp; TCO Comparison</t>
        </is>
      </c>
    </row>
    <row r="2"/>
    <row r="3">
      <c r="A3" s="2" t="inlineStr">
        <is>
          <t>DR Tier</t>
        </is>
      </c>
      <c r="B3" s="2" t="inlineStr">
        <is>
          <t>Topology Description</t>
        </is>
      </c>
      <c r="C3" s="2" t="inlineStr">
        <is>
          <t>Target RTO</t>
        </is>
      </c>
      <c r="D3" s="2" t="inlineStr">
        <is>
          <t>Target RPO</t>
        </is>
      </c>
      <c r="E3" s="2" t="inlineStr">
        <is>
          <t>Monthly Cost (USD)</t>
        </is>
      </c>
      <c r="F3" s="2" t="inlineStr">
        <is>
          <t>Annual Cost (INR Cr)</t>
        </is>
      </c>
      <c r="G3" s="2" t="inlineStr">
        <is>
          <t>Cost Multiplier</t>
        </is>
      </c>
    </row>
    <row r="4">
      <c r="A4" s="3" t="inlineStr">
        <is>
          <t>Current Single Region</t>
        </is>
      </c>
      <c r="B4" s="3" t="inlineStr">
        <is>
          <t>Single Region Mumbai (ap-south-1) with Multi-AZ</t>
        </is>
      </c>
      <c r="C4" s="4" t="inlineStr">
        <is>
          <t>4 - 24 Hours</t>
        </is>
      </c>
      <c r="D4" s="4" t="inlineStr">
        <is>
          <t>Hours to Days</t>
        </is>
      </c>
      <c r="E4" s="4" t="n">
        <v>80000</v>
      </c>
      <c r="F4" s="4" t="n">
        <v>8</v>
      </c>
      <c r="G4" s="4" t="inlineStr">
        <is>
          <t>1.00x</t>
        </is>
      </c>
    </row>
    <row r="5">
      <c r="A5" s="3" t="inlineStr">
        <is>
          <t>Cold Standby</t>
        </is>
      </c>
      <c r="B5" s="3" t="inlineStr">
        <is>
          <t>IaC in Hyderabad; spun up on disaster trigger</t>
        </is>
      </c>
      <c r="C5" s="4" t="inlineStr">
        <is>
          <t>4 - 8 Hours</t>
        </is>
      </c>
      <c r="D5" s="4" t="inlineStr">
        <is>
          <t>15 - 60 Minutes</t>
        </is>
      </c>
      <c r="E5" s="4" t="n">
        <v>86400</v>
      </c>
      <c r="F5" s="4" t="n">
        <v>8.640000000000001</v>
      </c>
      <c r="G5" s="4" t="inlineStr">
        <is>
          <t>1.08x</t>
        </is>
      </c>
    </row>
    <row r="6">
      <c r="A6" s="3" t="inlineStr">
        <is>
          <t>Warm Standby</t>
        </is>
      </c>
      <c r="B6" s="3" t="inlineStr">
        <is>
          <t>Core DB replicating; compute at 15% scale</t>
        </is>
      </c>
      <c r="C6" s="4" t="inlineStr">
        <is>
          <t>15 - 30 Minutes</t>
        </is>
      </c>
      <c r="D6" s="4" t="inlineStr">
        <is>
          <t>&lt; 1 Minute</t>
        </is>
      </c>
      <c r="E6" s="4" t="n">
        <v>112000</v>
      </c>
      <c r="F6" s="4" t="n">
        <v>11.2</v>
      </c>
      <c r="G6" s="4" t="inlineStr">
        <is>
          <t>1.40x</t>
        </is>
      </c>
    </row>
    <row r="7">
      <c r="A7" s="5" t="inlineStr">
        <is>
          <t>Hot Standby (RECOMMENDED)</t>
        </is>
      </c>
      <c r="B7" s="5" t="inlineStr">
        <is>
          <t>Pre-warmed compute (50%), Aurora Global DB, Route 53 failover</t>
        </is>
      </c>
      <c r="C7" s="6" t="inlineStr">
        <is>
          <t>3.5 Minutes (&lt; 5m)</t>
        </is>
      </c>
      <c r="D7" s="6" t="inlineStr">
        <is>
          <t>&lt; 1.0 Second</t>
        </is>
      </c>
      <c r="E7" s="6" t="n">
        <v>129800</v>
      </c>
      <c r="F7" s="6" t="n">
        <v>12.98</v>
      </c>
      <c r="G7" s="6" t="inlineStr">
        <is>
          <t>1.62x</t>
        </is>
      </c>
    </row>
    <row r="8">
      <c r="A8" s="3" t="inlineStr">
        <is>
          <t>Active-Active</t>
        </is>
      </c>
      <c r="B8" s="3" t="inlineStr">
        <is>
          <t>Dual-ingress live processing in Mumbai &amp; Hyderabad simultaneously</t>
        </is>
      </c>
      <c r="C8" s="4" t="inlineStr">
        <is>
          <t>&lt; 30 Seconds</t>
        </is>
      </c>
      <c r="D8" s="4" t="inlineStr">
        <is>
          <t>&lt; 1.0 Second</t>
        </is>
      </c>
      <c r="E8" s="4" t="n">
        <v>164200</v>
      </c>
      <c r="F8" s="4" t="n">
        <v>16.42</v>
      </c>
      <c r="G8" s="4" t="inlineStr">
        <is>
          <t>2.05x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5" customWidth="1" min="1" max="1"/>
    <col width="29" customWidth="1" min="2" max="2"/>
    <col width="19" customWidth="1" min="3" max="3"/>
    <col width="19" customWidth="1" min="4" max="4"/>
    <col width="25" customWidth="1" min="5" max="5"/>
    <col width="20" customWidth="1" min="6" max="6"/>
  </cols>
  <sheetData>
    <row r="1">
      <c r="A1" s="7" t="inlineStr">
        <is>
          <t>Detailed Line-Item Cost Comparison across 15+ AWS Service Categories (Monthly USD)</t>
        </is>
      </c>
    </row>
    <row r="2"/>
    <row r="3">
      <c r="A3" s="8" t="inlineStr">
        <is>
          <t>AWS Service Category</t>
        </is>
      </c>
      <c r="B3" s="8" t="inlineStr">
        <is>
          <t>Baseline Single-Region ($)</t>
        </is>
      </c>
      <c r="C3" s="8" t="inlineStr">
        <is>
          <t>Cold Standby ($)</t>
        </is>
      </c>
      <c r="D3" s="8" t="inlineStr">
        <is>
          <t>Warm Standby ($)</t>
        </is>
      </c>
      <c r="E3" s="8" t="inlineStr">
        <is>
          <t>Hot Standby (Rec.) ($)</t>
        </is>
      </c>
      <c r="F3" s="8" t="inlineStr">
        <is>
          <t>Active-Active ($)</t>
        </is>
      </c>
    </row>
    <row r="4">
      <c r="A4" t="inlineStr">
        <is>
          <t>1. Compute: Amazon EKS Worker Nodes (m6i.2xlarge)</t>
        </is>
      </c>
      <c r="B4" s="9" t="n">
        <v>21500</v>
      </c>
      <c r="C4" s="9" t="n">
        <v>21500</v>
      </c>
      <c r="D4" s="9" t="n">
        <v>26800</v>
      </c>
      <c r="E4" s="9" t="n">
        <v>34500</v>
      </c>
      <c r="F4" s="9" t="n">
        <v>43000</v>
      </c>
    </row>
    <row r="5">
      <c r="A5" t="inlineStr">
        <is>
          <t>2. Database: Aurora PostgreSQL Instances (db.r6g.2xlarge)</t>
        </is>
      </c>
      <c r="B5" s="9" t="n">
        <v>18200</v>
      </c>
      <c r="C5" s="9" t="n">
        <v>18200</v>
      </c>
      <c r="D5" s="9" t="n">
        <v>24200</v>
      </c>
      <c r="E5" s="9" t="n">
        <v>27400</v>
      </c>
      <c r="F5" s="9" t="n">
        <v>36400</v>
      </c>
    </row>
    <row r="6">
      <c r="A6" t="inlineStr">
        <is>
          <t>3. Database: Aurora Global Storage &amp; Replicated I/O</t>
        </is>
      </c>
      <c r="B6" s="9" t="n">
        <v>5400</v>
      </c>
      <c r="C6" s="9" t="n">
        <v>5600</v>
      </c>
      <c r="D6" s="9" t="n">
        <v>8900</v>
      </c>
      <c r="E6" s="9" t="n">
        <v>9200</v>
      </c>
      <c r="F6" s="9" t="n">
        <v>11800</v>
      </c>
    </row>
    <row r="7">
      <c r="A7" t="inlineStr">
        <is>
          <t>4. Database: DynamoDB Global Tables (10k RCU / 5k WCU)</t>
        </is>
      </c>
      <c r="B7" s="9" t="n">
        <v>6800</v>
      </c>
      <c r="C7" s="9" t="n">
        <v>6800</v>
      </c>
      <c r="D7" s="9" t="n">
        <v>9200</v>
      </c>
      <c r="E7" s="9" t="n">
        <v>10800</v>
      </c>
      <c r="F7" s="9" t="n">
        <v>13600</v>
      </c>
    </row>
    <row r="8">
      <c r="A8" t="inlineStr">
        <is>
          <t>5. In-Memory Cache: ElastiCache Redis (cache.r6g.xlarge)</t>
        </is>
      </c>
      <c r="B8" s="9" t="n">
        <v>4600</v>
      </c>
      <c r="C8" s="9" t="n">
        <v>4600</v>
      </c>
      <c r="D8" s="9" t="n">
        <v>6200</v>
      </c>
      <c r="E8" s="9" t="n">
        <v>7800</v>
      </c>
      <c r="F8" s="9" t="n">
        <v>9200</v>
      </c>
    </row>
    <row r="9">
      <c r="A9" t="inlineStr">
        <is>
          <t>6. Event Streaming: Amazon MSK Kafka Cluster (6 brokers)</t>
        </is>
      </c>
      <c r="B9" s="9" t="n">
        <v>7200</v>
      </c>
      <c r="C9" s="9" t="n">
        <v>7200</v>
      </c>
      <c r="D9" s="9" t="n">
        <v>9800</v>
      </c>
      <c r="E9" s="9" t="n">
        <v>12400</v>
      </c>
      <c r="F9" s="9" t="n">
        <v>15800</v>
      </c>
    </row>
    <row r="10">
      <c r="A10" t="inlineStr">
        <is>
          <t>7. Ingress &amp; Load Balancing: Dual ALBs + NLBs</t>
        </is>
      </c>
      <c r="B10" s="9" t="n">
        <v>1800</v>
      </c>
      <c r="C10" s="9" t="n">
        <v>1800</v>
      </c>
      <c r="D10" s="9" t="n">
        <v>2400</v>
      </c>
      <c r="E10" s="9" t="n">
        <v>3200</v>
      </c>
      <c r="F10" s="9" t="n">
        <v>3600</v>
      </c>
    </row>
    <row r="11">
      <c r="A11" t="inlineStr">
        <is>
          <t>8. Security &amp; WAF: AWS WAFv2 WebACLs &amp; Managed Rules</t>
        </is>
      </c>
      <c r="B11" s="9" t="n">
        <v>1400</v>
      </c>
      <c r="C11" s="9" t="n">
        <v>1400</v>
      </c>
      <c r="D11" s="9" t="n">
        <v>1900</v>
      </c>
      <c r="E11" s="9" t="n">
        <v>2400</v>
      </c>
      <c r="F11" s="9" t="n">
        <v>2800</v>
      </c>
    </row>
    <row r="12">
      <c r="A12" t="inlineStr">
        <is>
          <t>9. DDoS Protection: AWS Shield Advanced Subscription</t>
        </is>
      </c>
      <c r="B12" s="9" t="n">
        <v>3000</v>
      </c>
      <c r="C12" s="9" t="n">
        <v>3000</v>
      </c>
      <c r="D12" s="9" t="n">
        <v>3000</v>
      </c>
      <c r="E12" s="9" t="n">
        <v>3000</v>
      </c>
      <c r="F12" s="9" t="n">
        <v>3000</v>
      </c>
    </row>
    <row r="13">
      <c r="A13" t="inlineStr">
        <is>
          <t>10. Cryptographic Key Management: AWS KMS Multi-Region</t>
        </is>
      </c>
      <c r="B13" s="9" t="n">
        <v>450</v>
      </c>
      <c r="C13" s="9" t="n">
        <v>500</v>
      </c>
      <c r="D13" s="9" t="n">
        <v>800</v>
      </c>
      <c r="E13" s="9" t="n">
        <v>900</v>
      </c>
      <c r="F13" s="9" t="n">
        <v>1100</v>
      </c>
    </row>
    <row r="14">
      <c r="A14" t="inlineStr">
        <is>
          <t>11. Secrets Management: AWS Secrets Manager Replication</t>
        </is>
      </c>
      <c r="B14" s="9" t="n">
        <v>250</v>
      </c>
      <c r="C14" s="9" t="n">
        <v>300</v>
      </c>
      <c r="D14" s="9" t="n">
        <v>450</v>
      </c>
      <c r="E14" s="9" t="n">
        <v>500</v>
      </c>
      <c r="F14" s="9" t="n">
        <v>600</v>
      </c>
    </row>
    <row r="15">
      <c r="A15" t="inlineStr">
        <is>
          <t>12. Storage: Amazon S3 Compliance &amp; Object Lock (CRR+RTC)</t>
        </is>
      </c>
      <c r="B15" s="9" t="n">
        <v>1800</v>
      </c>
      <c r="C15" s="9" t="n">
        <v>2400</v>
      </c>
      <c r="D15" s="9" t="n">
        <v>3200</v>
      </c>
      <c r="E15" s="9" t="n">
        <v>3800</v>
      </c>
      <c r="F15" s="9" t="n">
        <v>4500</v>
      </c>
    </row>
    <row r="16">
      <c r="A16" t="inlineStr">
        <is>
          <t>13. Networking: Inter-Region Transit Gateway &amp; Direct Connect</t>
        </is>
      </c>
      <c r="B16" s="9" t="n">
        <v>2200</v>
      </c>
      <c r="C16" s="9" t="n">
        <v>2800</v>
      </c>
      <c r="D16" s="9" t="n">
        <v>4600</v>
      </c>
      <c r="E16" s="9" t="n">
        <v>5200</v>
      </c>
      <c r="F16" s="9" t="n">
        <v>7200</v>
      </c>
    </row>
    <row r="17">
      <c r="A17" t="inlineStr">
        <is>
          <t>14. Networking: Inter-Region Data Transfer Charges</t>
        </is>
      </c>
      <c r="B17" s="9" t="n">
        <v>800</v>
      </c>
      <c r="C17" s="9" t="n">
        <v>1100</v>
      </c>
      <c r="D17" s="9" t="n">
        <v>2400</v>
      </c>
      <c r="E17" s="9" t="n">
        <v>3100</v>
      </c>
      <c r="F17" s="9" t="n">
        <v>4800</v>
      </c>
    </row>
    <row r="18">
      <c r="A18" t="inlineStr">
        <is>
          <t>15. DNS Routing &amp; Health Checks: Amazon Route 53</t>
        </is>
      </c>
      <c r="B18" s="9" t="n">
        <v>150</v>
      </c>
      <c r="C18" s="9" t="n">
        <v>250</v>
      </c>
      <c r="D18" s="9" t="n">
        <v>450</v>
      </c>
      <c r="E18" s="9" t="n">
        <v>600</v>
      </c>
      <c r="F18" s="9" t="n">
        <v>800</v>
      </c>
    </row>
    <row r="19">
      <c r="A19" t="inlineStr">
        <is>
          <t>16. Observability: CloudWatch Logs, Metrics &amp; Synthetics</t>
        </is>
      </c>
      <c r="B19" s="9" t="n">
        <v>2400</v>
      </c>
      <c r="C19" s="9" t="n">
        <v>2650</v>
      </c>
      <c r="D19" s="9" t="n">
        <v>3800</v>
      </c>
      <c r="E19" s="9" t="n">
        <v>4400</v>
      </c>
      <c r="F19" s="9" t="n">
        <v>5200</v>
      </c>
    </row>
    <row r="20">
      <c r="A20" t="inlineStr">
        <is>
          <t>17. Third-Party Monitoring: Prometheus, Grafana &amp; PagerDuty</t>
        </is>
      </c>
      <c r="B20" s="9" t="n">
        <v>2050</v>
      </c>
      <c r="C20" s="9" t="n">
        <v>2100</v>
      </c>
      <c r="D20" s="9" t="n">
        <v>2700</v>
      </c>
      <c r="E20" s="9" t="n">
        <v>2700</v>
      </c>
      <c r="F20" s="9" t="n">
        <v>2800</v>
      </c>
    </row>
    <row r="21">
      <c r="A21" s="10" t="inlineStr">
        <is>
          <t>TOTAL MONTHLY INFRASTRUCTURE SPEND ($)</t>
        </is>
      </c>
      <c r="B21" s="11">
        <f>SUM(B4:B20)</f>
        <v/>
      </c>
      <c r="C21" s="11">
        <f>SUM(C4:C20)</f>
        <v/>
      </c>
      <c r="D21" s="11">
        <f>SUM(D4:D20)</f>
        <v/>
      </c>
      <c r="E21" s="11">
        <f>SUM(E4:E20)</f>
        <v/>
      </c>
      <c r="F21" s="11">
        <f>SUM(F4:F20)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5" customWidth="1" min="1" max="1"/>
    <col width="24" customWidth="1" min="2" max="2"/>
    <col width="24" customWidth="1" min="3" max="3"/>
    <col width="22" customWidth="1" min="4" max="4"/>
    <col width="26" customWidth="1" min="5" max="5"/>
    <col width="47" customWidth="1" min="6" max="6"/>
  </cols>
  <sheetData>
    <row r="1">
      <c r="A1" s="7" t="inlineStr">
        <is>
          <t>3-Year Compute Savings Plans &amp; Reserved Instances Optimization Deep Dive</t>
        </is>
      </c>
    </row>
    <row r="2"/>
    <row r="3">
      <c r="A3" s="12" t="inlineStr">
        <is>
          <t>Commitment Strategy</t>
        </is>
      </c>
      <c r="B3" s="12" t="inlineStr">
        <is>
          <t>Monthly On-Demand ($)</t>
        </is>
      </c>
      <c r="C3" s="12" t="inlineStr">
        <is>
          <t>Optimized Monthly ($)</t>
        </is>
      </c>
      <c r="D3" s="12" t="inlineStr">
        <is>
          <t>Monthly Savings ($)</t>
        </is>
      </c>
      <c r="E3" s="12" t="inlineStr">
        <is>
          <t>Annual Savings (INR Cr)</t>
        </is>
      </c>
      <c r="F3" s="12" t="inlineStr">
        <is>
          <t>Recommended Workloads</t>
        </is>
      </c>
    </row>
    <row r="4">
      <c r="A4" t="inlineStr">
        <is>
          <t>3-Year Compute Savings Plans (All-Upfront)</t>
        </is>
      </c>
      <c r="B4" s="13" t="n">
        <v>34500</v>
      </c>
      <c r="C4" s="13" t="n">
        <v>19320</v>
      </c>
      <c r="D4" s="13" t="n">
        <v>15180</v>
      </c>
      <c r="E4" s="14" t="n">
        <v>1.52</v>
      </c>
      <c r="F4" t="inlineStr">
        <is>
          <t>EKS Primary &amp; Standby Baseline Nodes</t>
        </is>
      </c>
    </row>
    <row r="5">
      <c r="A5" t="inlineStr">
        <is>
          <t>3-Year Aurora PostgreSQL Reserved Instances</t>
        </is>
      </c>
      <c r="B5" s="13" t="n">
        <v>27400</v>
      </c>
      <c r="C5" s="13" t="n">
        <v>16440</v>
      </c>
      <c r="D5" s="13" t="n">
        <v>10960</v>
      </c>
      <c r="E5" s="14" t="n">
        <v>1.1</v>
      </c>
      <c r="F5" t="inlineStr">
        <is>
          <t>Primary Writer &amp; Standby Reader DB Instances</t>
        </is>
      </c>
    </row>
    <row r="6">
      <c r="A6" t="inlineStr">
        <is>
          <t>1-Year ElastiCache Redis Reserved Nodes</t>
        </is>
      </c>
      <c r="B6" s="13" t="n">
        <v>7800</v>
      </c>
      <c r="C6" s="13" t="n">
        <v>5070</v>
      </c>
      <c r="D6" s="13" t="n">
        <v>2730</v>
      </c>
      <c r="E6" s="14" t="n">
        <v>0.27</v>
      </c>
      <c r="F6" t="inlineStr">
        <is>
          <t>Mumbai Primary Redis Cluster Nodes</t>
        </is>
      </c>
    </row>
    <row r="7">
      <c r="A7" t="inlineStr">
        <is>
          <t>DynamoDB 3-Year Reserved Capacity</t>
        </is>
      </c>
      <c r="B7" s="13" t="n">
        <v>10800</v>
      </c>
      <c r="C7" s="13" t="n">
        <v>5940</v>
      </c>
      <c r="D7" s="13" t="n">
        <v>4860</v>
      </c>
      <c r="E7" s="14" t="n">
        <v>0.49</v>
      </c>
      <c r="F7" t="inlineStr">
        <is>
          <t>10k RCU / 5k WCU Global Idempotency Table</t>
        </is>
      </c>
    </row>
    <row r="8">
      <c r="A8" s="15" t="inlineStr">
        <is>
          <t>TOTAL COMMITTED SAVINGS</t>
        </is>
      </c>
      <c r="B8" s="16" t="n">
        <v>80500</v>
      </c>
      <c r="C8" s="16" t="n">
        <v>46770</v>
      </c>
      <c r="D8" s="16" t="n">
        <v>33730</v>
      </c>
      <c r="E8" s="17" t="n">
        <v>3.38</v>
      </c>
      <c r="F8" s="15" t="inlineStr">
        <is>
          <t>Total annual optimization: ₹3.38 Crore INR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2026-09-12T06:35:15Z</dcterms:created>
  <dcterms:modified xsi:type="dcterms:W3CDTF">2026-09-12T06:35:15Z</dcterms:modified>
</cp:coreProperties>
</file>